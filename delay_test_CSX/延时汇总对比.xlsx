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018587\mtw\261009_4000T_electrode_CSX_UART_real_time_delay\csx_delay_v2\"/>
    </mc:Choice>
  </mc:AlternateContent>
  <xr:revisionPtr revIDLastSave="0" documentId="13_ncr:1_{5035F02C-4D36-4FAB-BE19-9CD975AEE5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" i="1" l="1"/>
  <c r="P4" i="1"/>
  <c r="M4" i="1"/>
  <c r="J4" i="1"/>
  <c r="G4" i="1"/>
  <c r="D4" i="1"/>
  <c r="P3" i="1"/>
  <c r="S2" i="1"/>
  <c r="S3" i="1"/>
  <c r="P2" i="1"/>
  <c r="M2" i="1"/>
  <c r="M3" i="1"/>
  <c r="J2" i="1"/>
  <c r="J3" i="1"/>
  <c r="G2" i="1"/>
  <c r="G3" i="1"/>
  <c r="D2" i="1"/>
  <c r="D3" i="1"/>
</calcChain>
</file>

<file path=xl/sharedStrings.xml><?xml version="1.0" encoding="utf-8"?>
<sst xmlns="http://schemas.openxmlformats.org/spreadsheetml/2006/main" count="7" uniqueCount="7">
  <si>
    <t>IIR系数</t>
  </si>
  <si>
    <t>上升：滤波半高延迟</t>
  </si>
  <si>
    <t>上升：Status相对滤波前</t>
  </si>
  <si>
    <t>上升：Status相对滤波后</t>
  </si>
  <si>
    <t>下降：滤波半高延迟</t>
  </si>
  <si>
    <t>下降：Status相对滤波前</t>
  </si>
  <si>
    <t>下降：Status相对滤波后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</si>
</sst>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S7" sqref="S7"/>
    </sheetView>
  </sheetViews>
  <sheetFormatPr defaultRowHeight="14.25" x14ac:dyDescent="0.2"/>
  <cols>
    <col min="1" max="1" width="7.375" bestFit="1" customWidth="1"/>
    <col min="2" max="3" width="7.375" customWidth="1"/>
    <col min="4" max="4" width="6.875" bestFit="1" customWidth="1"/>
    <col min="5" max="5" width="7.5" customWidth="1"/>
    <col min="6" max="6" width="12.75" customWidth="1"/>
    <col min="7" max="7" width="10.5" customWidth="1"/>
    <col min="8" max="9" width="5.875" bestFit="1" customWidth="1"/>
    <col min="10" max="10" width="10.625" customWidth="1"/>
    <col min="11" max="12" width="6.875" bestFit="1" customWidth="1"/>
    <col min="13" max="13" width="7.875" bestFit="1" customWidth="1"/>
    <col min="14" max="15" width="6.875" bestFit="1" customWidth="1"/>
    <col min="16" max="16" width="7.875" bestFit="1" customWidth="1"/>
    <col min="17" max="18" width="4.875" bestFit="1" customWidth="1"/>
    <col min="19" max="19" width="11.5" customWidth="1"/>
  </cols>
  <sheetData>
    <row r="1" spans="1:19" x14ac:dyDescent="0.2">
      <c r="A1" s="2" t="s">
        <v>0</v>
      </c>
      <c r="B1" s="5" t="s">
        <v>1</v>
      </c>
      <c r="C1" s="5"/>
      <c r="D1" s="5"/>
      <c r="E1" s="5" t="s">
        <v>2</v>
      </c>
      <c r="F1" s="5"/>
      <c r="G1" s="5"/>
      <c r="H1" s="5" t="s">
        <v>3</v>
      </c>
      <c r="I1" s="5"/>
      <c r="J1" s="5"/>
      <c r="K1" s="5" t="s">
        <v>4</v>
      </c>
      <c r="L1" s="5"/>
      <c r="M1" s="5"/>
      <c r="N1" s="5" t="s">
        <v>5</v>
      </c>
      <c r="O1" s="5"/>
      <c r="P1" s="5"/>
      <c r="Q1" s="5" t="s">
        <v>6</v>
      </c>
      <c r="R1" s="5"/>
      <c r="S1" s="5"/>
    </row>
    <row r="2" spans="1:19" x14ac:dyDescent="0.2">
      <c r="A2" s="1">
        <v>128</v>
      </c>
      <c r="B2" s="1">
        <v>10.75</v>
      </c>
      <c r="C2" s="1">
        <v>10.19</v>
      </c>
      <c r="D2" s="4">
        <f t="shared" ref="D2" si="0">AVERAGE(B2:C2)</f>
        <v>10.469999999999999</v>
      </c>
      <c r="E2" s="3">
        <v>32.450000000000003</v>
      </c>
      <c r="F2" s="3">
        <v>33.42</v>
      </c>
      <c r="G2" s="4">
        <f t="shared" ref="G2" si="1">AVERAGE(E2:F2)</f>
        <v>32.935000000000002</v>
      </c>
      <c r="H2" s="3">
        <v>24.63</v>
      </c>
      <c r="I2" s="3">
        <v>26.46</v>
      </c>
      <c r="J2" s="4">
        <f t="shared" ref="J2" si="2">AVERAGE(H2:I2)</f>
        <v>25.545000000000002</v>
      </c>
      <c r="K2" s="3">
        <v>7.52</v>
      </c>
      <c r="L2" s="3">
        <v>8.09</v>
      </c>
      <c r="M2" s="4">
        <f t="shared" ref="M2" si="3">AVERAGE(K2:L2)</f>
        <v>7.8049999999999997</v>
      </c>
      <c r="N2" s="3">
        <v>19.07</v>
      </c>
      <c r="O2" s="3">
        <v>22.71</v>
      </c>
      <c r="P2" s="4">
        <f t="shared" ref="P2" si="4">AVERAGE(N2:O2)</f>
        <v>20.89</v>
      </c>
      <c r="Q2" s="3">
        <v>3.09</v>
      </c>
      <c r="R2" s="3">
        <v>6.2</v>
      </c>
      <c r="S2" s="4">
        <f t="shared" ref="S2" si="5">AVERAGE(Q2:R2)</f>
        <v>4.6449999999999996</v>
      </c>
    </row>
    <row r="3" spans="1:19" x14ac:dyDescent="0.2">
      <c r="A3" s="1">
        <v>64</v>
      </c>
      <c r="B3" s="1">
        <v>30.8</v>
      </c>
      <c r="C3" s="1">
        <v>30.53</v>
      </c>
      <c r="D3" s="4">
        <f>AVERAGE(B3:C3)</f>
        <v>30.664999999999999</v>
      </c>
      <c r="E3" s="3">
        <v>40.75</v>
      </c>
      <c r="F3" s="3">
        <v>43.68</v>
      </c>
      <c r="G3" s="4">
        <f>AVERAGE(E3:F3)</f>
        <v>42.215000000000003</v>
      </c>
      <c r="H3" s="3">
        <v>27.72</v>
      </c>
      <c r="I3" s="3">
        <v>25.2</v>
      </c>
      <c r="J3" s="4">
        <f>AVERAGE(H3:I3)</f>
        <v>26.46</v>
      </c>
      <c r="K3" s="3">
        <v>24.75</v>
      </c>
      <c r="L3" s="3">
        <v>25.94</v>
      </c>
      <c r="M3" s="4">
        <f>AVERAGE(K3:L3)</f>
        <v>25.344999999999999</v>
      </c>
      <c r="N3" s="3">
        <v>55.84</v>
      </c>
      <c r="O3" s="3">
        <v>60.34</v>
      </c>
      <c r="P3" s="4">
        <f>AVERAGE(N3:O3)</f>
        <v>58.09</v>
      </c>
      <c r="Q3" s="3">
        <v>5.19</v>
      </c>
      <c r="R3" s="3">
        <v>6.37</v>
      </c>
      <c r="S3" s="4">
        <f>AVERAGE(Q3:R3)</f>
        <v>5.78</v>
      </c>
    </row>
    <row r="4" spans="1:19" x14ac:dyDescent="0.2">
      <c r="A4">
        <v>32</v>
      </c>
      <c r="B4">
        <v>68.2</v>
      </c>
      <c r="C4">
        <v>67.010000000000005</v>
      </c>
      <c r="D4" s="4">
        <f>AVERAGE(B4:C4)</f>
        <v>67.605000000000004</v>
      </c>
      <c r="E4">
        <v>62.25</v>
      </c>
      <c r="F4">
        <v>76.31</v>
      </c>
      <c r="G4" s="4">
        <f>AVERAGE(E4:F4)</f>
        <v>69.28</v>
      </c>
      <c r="H4">
        <v>26.25</v>
      </c>
      <c r="I4">
        <v>27.16</v>
      </c>
      <c r="J4" s="4">
        <f>AVERAGE(H4:I4)</f>
        <v>26.704999999999998</v>
      </c>
      <c r="K4">
        <v>45.53</v>
      </c>
      <c r="L4">
        <v>49.58</v>
      </c>
      <c r="M4" s="4">
        <f>AVERAGE(K4:L4)</f>
        <v>47.555</v>
      </c>
      <c r="N4">
        <v>132.74</v>
      </c>
      <c r="O4">
        <v>103.82</v>
      </c>
      <c r="P4" s="4">
        <f>AVERAGE(N4:O4)</f>
        <v>118.28</v>
      </c>
      <c r="Q4">
        <v>6.45</v>
      </c>
      <c r="R4">
        <v>2.81</v>
      </c>
      <c r="S4" s="4">
        <f>AVERAGE(Q4:R4)</f>
        <v>4.63</v>
      </c>
    </row>
  </sheetData>
  <mergeCells count="6">
    <mergeCell ref="Q1:S1"/>
    <mergeCell ref="B1:D1"/>
    <mergeCell ref="E1:G1"/>
    <mergeCell ref="H1:J1"/>
    <mergeCell ref="K1:M1"/>
    <mergeCell ref="N1:P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李昊融</dc:creator>
  <cp:lastModifiedBy>李昊融</cp:lastModifiedBy>
  <dcterms:created xsi:type="dcterms:W3CDTF">2015-06-05T18:19:34Z</dcterms:created>
  <dcterms:modified xsi:type="dcterms:W3CDTF">2026-10-09T09:42:57Z</dcterms:modified>
</cp:coreProperties>
</file>